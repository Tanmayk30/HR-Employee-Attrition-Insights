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may\OneDrive\Desktop\"/>
    </mc:Choice>
  </mc:AlternateContent>
  <xr:revisionPtr revIDLastSave="0" documentId="13_ncr:1_{C953C4DC-1B8A-4D42-809D-3B98B7E34BC3}" xr6:coauthVersionLast="47" xr6:coauthVersionMax="47" xr10:uidLastSave="{00000000-0000-0000-0000-000000000000}"/>
  <bookViews>
    <workbookView xWindow="-108" yWindow="-108" windowWidth="23256" windowHeight="12456" activeTab="1" xr2:uid="{FF0DED32-6871-4845-8634-379DDB45C537}"/>
  </bookViews>
  <sheets>
    <sheet name="Employee Data" sheetId="1" r:id="rId1"/>
    <sheet name="Analysis" sheetId="2" r:id="rId2"/>
  </sheets>
  <definedNames>
    <definedName name="_xlnm._FilterDatabase" localSheetId="0" hidden="1">'Employee Data'!$A$1:$AI$1471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6" i="2" l="1"/>
  <c r="D67" i="2"/>
  <c r="D65" i="2"/>
  <c r="C67" i="2"/>
  <c r="C66" i="2"/>
  <c r="C65" i="2"/>
  <c r="B67" i="2"/>
  <c r="B66" i="2"/>
  <c r="B65" i="2"/>
  <c r="D58" i="2"/>
  <c r="D59" i="2"/>
  <c r="D60" i="2"/>
  <c r="D57" i="2"/>
  <c r="C60" i="2"/>
  <c r="C59" i="2"/>
  <c r="C58" i="2"/>
  <c r="C57" i="2"/>
  <c r="B60" i="2"/>
  <c r="B59" i="2"/>
  <c r="B58" i="2"/>
  <c r="B57" i="2"/>
  <c r="C52" i="2"/>
  <c r="D52" i="2" s="1"/>
  <c r="C51" i="2"/>
  <c r="D51" i="2" s="1"/>
  <c r="C50" i="2"/>
  <c r="D50" i="2" s="1"/>
  <c r="C49" i="2"/>
  <c r="D49" i="2" s="1"/>
  <c r="B52" i="2"/>
  <c r="B51" i="2"/>
  <c r="B50" i="2"/>
  <c r="B49" i="2"/>
  <c r="C42" i="2"/>
  <c r="C43" i="2"/>
  <c r="C44" i="2"/>
  <c r="C41" i="2"/>
  <c r="B42" i="2"/>
  <c r="B43" i="2"/>
  <c r="B44" i="2"/>
  <c r="B41" i="2"/>
  <c r="C36" i="2"/>
  <c r="C35" i="2"/>
  <c r="B36" i="2"/>
  <c r="B35" i="2"/>
  <c r="A30" i="2" a="1"/>
  <c r="A30" i="2" s="1"/>
  <c r="C30" i="2" s="1"/>
  <c r="A18" i="2" a="1"/>
  <c r="A18" i="2" s="1"/>
  <c r="C15" i="2"/>
  <c r="C14" i="2"/>
  <c r="C13" i="2"/>
  <c r="C12" i="2"/>
  <c r="B15" i="2"/>
  <c r="B14" i="2"/>
  <c r="B13" i="2"/>
  <c r="B12" i="2"/>
  <c r="C8" i="2"/>
  <c r="C7" i="2"/>
  <c r="C6" i="2"/>
  <c r="B8" i="2"/>
  <c r="B7" i="2"/>
  <c r="B6" i="2"/>
  <c r="D5" i="2"/>
  <c r="C5" i="2"/>
  <c r="B5" i="2"/>
  <c r="D7" i="2" l="1"/>
  <c r="B24" i="2"/>
  <c r="D24" i="2" s="1"/>
  <c r="C21" i="2"/>
  <c r="D41" i="2"/>
  <c r="C23" i="2"/>
  <c r="D23" i="2" s="1"/>
  <c r="D44" i="2"/>
  <c r="B23" i="2"/>
  <c r="C20" i="2"/>
  <c r="B22" i="2"/>
  <c r="C19" i="2"/>
  <c r="D43" i="2"/>
  <c r="D42" i="2"/>
  <c r="B20" i="2"/>
  <c r="B21" i="2"/>
  <c r="B19" i="2"/>
  <c r="B26" i="2"/>
  <c r="C26" i="2"/>
  <c r="D26" i="2" s="1"/>
  <c r="C24" i="2"/>
  <c r="C25" i="2"/>
  <c r="D25" i="2" s="1"/>
  <c r="B25" i="2"/>
  <c r="C22" i="2"/>
  <c r="D22" i="2" s="1"/>
  <c r="B30" i="2"/>
  <c r="D30" i="2" s="1"/>
  <c r="B31" i="2"/>
  <c r="D12" i="2"/>
  <c r="D13" i="2"/>
  <c r="C31" i="2"/>
  <c r="D31" i="2" s="1"/>
  <c r="D15" i="2"/>
  <c r="B18" i="2"/>
  <c r="C18" i="2"/>
  <c r="D8" i="2"/>
  <c r="D14" i="2"/>
  <c r="D6" i="2"/>
  <c r="D19" i="2" l="1"/>
  <c r="D21" i="2"/>
  <c r="D20" i="2"/>
  <c r="D18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<sst xmlns="http://schemas.openxmlformats.org/spreadsheetml/2006/main" count="13322" uniqueCount="98">
  <si>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</si>
  <si>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</si>
  <si>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</si>
  <si>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</si>
  <si>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</si>
  <si>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</si>
  <si>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</si>
  <si>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</si>
  <si>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</si>
  <si>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</si>
  <si>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</si>
  <si>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</si>
  <si>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</si>
  <si>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</si>
  <si>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</si>
  <si>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</si>
  <si>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</si>
  <si>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</si>
  <si>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</si>
  <si>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</si>
  <si>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</si>
  <si>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</si>
  <si>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</si>
  <si>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</si>
  <si>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</si>
  <si>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</si>
  <si>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</si>
  <si>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</si>
  <si>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</si>
  <si>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</si>
  <si>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</si>
  <si>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</si>
  <si>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</si>
  <si>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</si>
  <si>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</si>
  <si>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</si>
  <si>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</si>
  <si>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</si>
  <si>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</si>
  <si>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</si>
  <si>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</si>
  <si>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</si>
  <si>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</si>
  <si>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</si>
  <si>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</si>
  <si>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</si>
  <si>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</si>
  <si>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</si>
  <si>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</si>
  <si>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</si>
  <si>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</si>
  <si>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</si>
  <si>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</si>
  <si>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</si>
  <si>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</si>
  <si>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</si>
  <si>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</si>
  <si>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</si>
  <si>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</si>
  <si>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</si>
  <si>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</si>
  <si>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</si>
  <si>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KPI</t>
  </si>
  <si>
    <t xml:space="preserve">Total Employee </t>
  </si>
  <si>
    <t>Total Employees</t>
  </si>
  <si>
    <t>Employees Who Left</t>
  </si>
  <si>
    <t>Overall Attrition Rate</t>
  </si>
  <si>
    <t xml:space="preserve">Sales </t>
  </si>
  <si>
    <t>Age Group</t>
  </si>
  <si>
    <t>Employees who left</t>
  </si>
  <si>
    <t>Attriation Rate</t>
  </si>
  <si>
    <t>Under 25</t>
  </si>
  <si>
    <t>25-34</t>
  </si>
  <si>
    <t>35-44</t>
  </si>
  <si>
    <t>45+</t>
  </si>
  <si>
    <t>Column1</t>
  </si>
  <si>
    <t>Job Role</t>
  </si>
  <si>
    <t>Total Employees by Gender</t>
  </si>
  <si>
    <t>Employees Who Left by Gender</t>
  </si>
  <si>
    <t>Employees Who Left ÷ Total Employees</t>
  </si>
  <si>
    <r>
      <t>Total Employees by Overtime</t>
    </r>
    <r>
      <rPr>
        <sz val="11"/>
        <color theme="1"/>
        <rFont val="Aptos Narrow"/>
        <family val="2"/>
        <scheme val="minor"/>
      </rPr>
      <t>.</t>
    </r>
  </si>
  <si>
    <t xml:space="preserve">Yes </t>
  </si>
  <si>
    <t>NO</t>
  </si>
  <si>
    <t>Does Overtime</t>
  </si>
  <si>
    <r>
      <t>Employees Who Left</t>
    </r>
    <r>
      <rPr>
        <sz val="11"/>
        <color theme="1"/>
        <rFont val="Aptos Narrow"/>
        <family val="2"/>
        <scheme val="minor"/>
      </rPr>
      <t xml:space="preserve"> </t>
    </r>
  </si>
  <si>
    <t>Job Satisfaction</t>
  </si>
  <si>
    <t>Attrition Rate</t>
  </si>
  <si>
    <t>Years at Company</t>
  </si>
  <si>
    <t>0–2 Years</t>
  </si>
  <si>
    <t>3–5 Years</t>
  </si>
  <si>
    <t>6–10 Years</t>
  </si>
  <si>
    <t>11+ Years</t>
  </si>
  <si>
    <t>Monthly Income Group</t>
  </si>
  <si>
    <t>Below 3K</t>
  </si>
  <si>
    <t>3K–5K</t>
  </si>
  <si>
    <t>5K–10K</t>
  </si>
  <si>
    <t>10K+</t>
  </si>
  <si>
    <t>Business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</si>
</sst>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0" fontId="0" fillId="0" borderId="0" xfId="0" applyNumberFormat="1"/>
    <xf numFmtId="0" fontId="10" fillId="6" borderId="5" xfId="10" applyAlignment="1">
      <alignment horizontal="center"/>
    </xf>
    <xf numFmtId="0" fontId="10" fillId="6" borderId="5" xfId="10"/>
    <xf numFmtId="10" fontId="10" fillId="6" borderId="5" xfId="10" applyNumberFormat="1"/>
    <xf numFmtId="0" fontId="16" fillId="0" borderId="0" xfId="0" applyFont="1"/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0" xfId="0" applyBorder="1"/>
    <xf numFmtId="10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0" fontId="0" fillId="0" borderId="13" xfId="0" applyNumberFormat="1" applyBorder="1"/>
    <xf numFmtId="0" fontId="13" fillId="7" borderId="7" xfId="13"/>
    <xf numFmtId="10" fontId="13" fillId="7" borderId="7" xfId="13" applyNumberFormat="1"/>
    <xf numFmtId="0" fontId="9" fillId="5" borderId="4" xfId="9"/>
    <xf numFmtId="10" fontId="9" fillId="5" borderId="4" xfId="9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DFBEAA-ED83-4E2B-94D1-3939641562FE}" name="Table1" displayName="Table1" ref="A1:AI1471" totalsRowShown="0">
  <autoFilter ref="A1:AI1471" xr:uid="{3DDFBEAA-ED83-4E2B-94D1-3939641562FE}"/>
  <tableColumns count="35">
    <tableColumn id="1" xr3:uid="{15B97539-C754-4E1D-8FA7-C56ED9BDE620}" name="Age"/>
    <tableColumn id="2" xr3:uid="{337771EE-F7AE-40E0-85CA-4356B0A96A90}" name="Attrition"/>
    <tableColumn id="3" xr3:uid="{0B4BB36B-C55F-48A3-9343-A88D4FD4A0DF}" name="BusinessTravel"/>
    <tableColumn id="4" xr3:uid="{436141FF-7AF8-4B6B-808E-8A9773DD2474}" name="DailyRate"/>
    <tableColumn id="5" xr3:uid="{C0ADEC85-19C6-4A03-98A7-1E599A9F0683}" name="Department"/>
    <tableColumn id="6" xr3:uid="{68BB22EA-1DB6-4F79-8641-271E52C6ADD1}" name="DistanceFromHome"/>
    <tableColumn id="7" xr3:uid="{D6DA18B8-8C66-4131-8206-641881D38D82}" name="Education"/>
    <tableColumn id="8" xr3:uid="{E7572C68-70EB-4031-8A82-7209A528F242}" name="EducationField"/>
    <tableColumn id="9" xr3:uid="{D71B1EFD-6E0C-46EB-AB8F-D4F05B363540}" name="EmployeeCount"/>
    <tableColumn id="10" xr3:uid="{7F2F21AF-4328-4FEB-A9F9-57A14AD8FF8D}" name="EmployeeNumber"/>
    <tableColumn id="11" xr3:uid="{B7B549AC-AD9F-4941-ADED-5B3E4E0CB71F}" name="EnvironmentSatisfaction"/>
    <tableColumn id="12" xr3:uid="{E7452B45-27BB-48B4-8EBB-D916B2B4B19B}" name="Gender"/>
    <tableColumn id="13" xr3:uid="{D53B3F5C-3897-4DB5-8005-ABF1476425A1}" name="HourlyRate"/>
    <tableColumn id="14" xr3:uid="{C753A673-6A76-4407-AE8C-FE67C7FD6CD5}" name="JobInvolvement"/>
    <tableColumn id="15" xr3:uid="{0ACEB7F1-A1F8-4495-BC2D-E0984620F664}" name="JobLevel"/>
    <tableColumn id="16" xr3:uid="{23F5CF42-862F-42F3-A796-002FDF08AF90}" name="JobRole"/>
    <tableColumn id="17" xr3:uid="{9CA0EB7C-FBC7-45E7-B489-E4EBCC02E4ED}" name="JobSatisfaction"/>
    <tableColumn id="18" xr3:uid="{110E7513-5847-4340-9A1F-F03F43B71BBD}" name="MaritalStatus"/>
    <tableColumn id="19" xr3:uid="{203A51C3-6510-47AE-9E99-AE4E00600A19}" name="MonthlyIncome"/>
    <tableColumn id="20" xr3:uid="{2E2E895C-5E7B-465C-82D1-5EABD4203703}" name="MonthlyRate"/>
    <tableColumn id="21" xr3:uid="{BFCF94D8-904C-426F-A1A7-3EC7422325F3}" name="NumCompaniesWorked"/>
    <tableColumn id="22" xr3:uid="{949F0D9A-36B3-4524-BB1C-6AFE65A6490E}" name="Over18"/>
    <tableColumn id="23" xr3:uid="{3BC5F7C2-BF87-468E-B6A5-2204E6152D6F}" name="OverTime"/>
    <tableColumn id="24" xr3:uid="{43A29751-5457-44E3-88AF-DD34C7670E86}" name="PercentSalaryHike"/>
    <tableColumn id="25" xr3:uid="{69B7A10E-1C1C-488F-9838-37B1C7B0C595}" name="PerformanceRating"/>
    <tableColumn id="26" xr3:uid="{B85A0953-D1CB-45D5-B2C4-F6C9A41DC5A4}" name="RelationshipSatisfaction"/>
    <tableColumn id="27" xr3:uid="{D2EA376A-C196-46EB-AF99-40775667E737}" name="StandardHours"/>
    <tableColumn id="28" xr3:uid="{13023F57-DACC-4803-9D88-92DE00468AEF}" name="StockOptionLevel"/>
    <tableColumn id="29" xr3:uid="{9A7B05C6-3BB1-4AB8-8828-5ADA74EC3877}" name="TotalWorkingYears"/>
    <tableColumn id="30" xr3:uid="{58C67DFD-C230-4D27-8157-5CFC44373D5F}" name="TrainingTimesLastYear"/>
    <tableColumn id="31" xr3:uid="{F5C18677-46D6-4F5C-8C82-A96A8BA09AD0}" name="WorkLifeBalance"/>
    <tableColumn id="32" xr3:uid="{8307AADB-70B5-4510-8BCF-3DA6FC2234F0}" name="YearsAtCompany"/>
    <tableColumn id="33" xr3:uid="{E670D858-8DFD-412D-B406-44FCB3E4B5CA}" name="YearsInCurrentRole"/>
    <tableColumn id="34" xr3:uid="{DBA3B60D-ABDD-421F-8BE9-0CAAE3BE1362}" name="YearsSinceLastPromotion"/>
    <tableColumn id="35" xr3:uid="{664B81CE-475D-46A1-AACD-0F1A9D96D481}" name="YearsWithCurrManag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F95B81-6A8D-4BE8-8849-5A9E692B99F6}" name="Table4" displayName="Table4" ref="A11:D15" totalsRowShown="0">
  <autoFilter ref="A11:D15" xr:uid="{CBF95B81-6A8D-4BE8-8849-5A9E692B99F6}"/>
  <tableColumns count="4">
    <tableColumn id="1" xr3:uid="{A5C0E2B1-2BD7-4DC5-923E-75FFFE7F70D6}" name="Age Group"/>
    <tableColumn id="2" xr3:uid="{619419A7-4675-4C33-A138-E99C17850E8F}" name="Total Employees"/>
    <tableColumn id="3" xr3:uid="{96AF3F34-E455-4970-99B4-D99D07ED87E6}" name="Employees who left"/>
    <tableColumn id="4" xr3:uid="{48533DCC-9C61-4BDF-BE7A-116248E532F6}" name="Attriation Rate" dataDxfId="12">
      <calculatedColumnFormula>C12/B12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B9B1850-7376-4EC4-9AF4-C6BFEA6119B9}" name="Table8" displayName="Table8" ref="A34:D36" totalsRowShown="0">
  <autoFilter ref="A34:D36" xr:uid="{FB9B1850-7376-4EC4-9AF4-C6BFEA6119B9}"/>
  <tableColumns count="4">
    <tableColumn id="1" xr3:uid="{1D5A2EF2-D2F1-49B3-A8BE-01ECF2DD0840}" name="Does Overtime"/>
    <tableColumn id="2" xr3:uid="{A2A93356-36B2-4B43-8313-80D03E794926}" name="Total Employees by Overtime.">
      <calculatedColumnFormula>COUNTIF('Employee Data'!W:W,"No")</calculatedColumnFormula>
    </tableColumn>
    <tableColumn id="3" xr3:uid="{22E54639-E09C-44F8-961F-76ED4CBE43BA}" name="Employees Who Left ">
      <calculatedColumnFormula>COUNTIFS('Employee Data'!W:W,"No",'Employee Data'!B:B,"Yes")</calculatedColumnFormula>
    </tableColumn>
    <tableColumn id="4" xr3:uid="{69E130CB-566D-4AAD-B958-C066D1AD0CF6}" name="Column1" dataDxfId="11"/>
  </tableColumns>
  <tableStyleInfo name="TableStyleMedium2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9BBF909-1419-4D39-9A70-A9D3E414707D}" name="Table9" displayName="Table9" ref="A40:D44" totalsRowShown="0" headerRowDxfId="5" dataDxfId="6">
  <autoFilter ref="A40:D44" xr:uid="{A9BBF909-1419-4D39-9A70-A9D3E414707D}"/>
  <tableColumns count="4">
    <tableColumn id="1" xr3:uid="{6E4FCBBC-42CB-48AD-B48D-090D8300B401}" name="Job Satisfaction" dataDxfId="10"/>
    <tableColumn id="2" xr3:uid="{F9B20AFC-D523-4F4C-BEE4-4938B98A15EC}" name="Total Employees" dataDxfId="9">
      <calculatedColumnFormula>COUNTIF('Employee Data'!Q:Q,A41)</calculatedColumnFormula>
    </tableColumn>
    <tableColumn id="3" xr3:uid="{246012C0-D20F-43FF-B045-3B34581F36EF}" name="Employees Who Left" dataDxfId="8">
      <calculatedColumnFormula>COUNTIFS('Employee Data'!Q:Q,A41,'Employee Data'!B:B,"Yes")</calculatedColumnFormula>
    </tableColumn>
    <tableColumn id="4" xr3:uid="{CB61BED2-18CB-4BE1-851E-F4F8F657C69D}" name="Attrition Rate" dataDxfId="7">
      <calculatedColumnFormula>C41/B41</calculatedColumnFormula>
    </tableColumn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4C14416-4BA3-4243-9DEA-37BF7E9D5962}" name="Table10" displayName="Table10" ref="A48:D52" totalsRowShown="0" headerRowDxfId="0">
  <autoFilter ref="A48:D52" xr:uid="{C4C14416-4BA3-4243-9DEA-37BF7E9D5962}"/>
  <tableColumns count="4">
    <tableColumn id="1" xr3:uid="{54A93F46-FBD9-45AC-A9A0-99F8C2685521}" name="Years at Company" dataDxfId="4"/>
    <tableColumn id="2" xr3:uid="{FB3D769C-C021-4374-97EC-CE9CA2FC9F9B}" name="Total Employees" dataDxfId="3"/>
    <tableColumn id="3" xr3:uid="{AE547EF5-6054-481E-A428-840AA0529F71}" name="Employees Who Left" dataDxfId="2"/>
    <tableColumn id="4" xr3:uid="{C20A7549-9BF7-4805-8B01-AF33F4B5E30E}" name="Attrition Rate" dataDxfId="1">
      <calculatedColumnFormula>C49/B49</calculatedColumnFormula>
    </tableColumn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80D11-4781-4213-BCBB-C33B03DFD478}">
  <dimension ref="A1:AI1471"/>
  <sheetViews>
    <sheetView zoomScaleNormal="100" workbookViewId="0">
      <selection activeCell="C1" sqref="C1"/>
    </sheetView>
  </sheetViews>
  <sheetFormatPr defaultRowHeight="13.8"/>
  <cols>
    <col min="1" max="1" width="6.09765625" customWidth="1"/>
    <col min="2" max="2" width="9.59765625" customWidth="1"/>
    <col min="3" max="3" width="16.19921875" customWidth="1"/>
    <col min="4" max="4" width="11" customWidth="1"/>
    <col min="5" max="5" width="21.59765625" bestFit="1" customWidth="1"/>
    <col min="6" max="6" width="20" customWidth="1"/>
    <col min="7" max="7" width="11.296875" customWidth="1"/>
    <col min="8" max="8" width="15.796875" bestFit="1" customWidth="1"/>
    <col min="9" max="9" width="16.69921875" customWidth="1"/>
    <col min="10" max="10" width="18.5" customWidth="1"/>
    <col min="11" max="11" width="24.09765625" customWidth="1"/>
    <col min="12" max="12" width="9.09765625" customWidth="1"/>
    <col min="13" max="13" width="12.3984375" customWidth="1"/>
    <col min="14" max="14" width="16.796875" customWidth="1"/>
    <col min="15" max="15" width="10.69921875" customWidth="1"/>
    <col min="16" max="16" width="22.5" bestFit="1" customWidth="1"/>
    <col min="17" max="17" width="16" customWidth="1"/>
    <col min="18" max="18" width="13.8984375" customWidth="1"/>
    <col min="19" max="19" width="16.09765625" customWidth="1"/>
    <col min="20" max="20" width="13.59765625" customWidth="1"/>
    <col min="21" max="21" width="23.296875" customWidth="1"/>
    <col min="22" max="22" width="8.8984375" customWidth="1"/>
    <col min="23" max="23" width="11.296875" customWidth="1"/>
    <col min="24" max="24" width="18.796875" customWidth="1"/>
    <col min="25" max="25" width="19.5" customWidth="1"/>
    <col min="26" max="26" width="23.69921875" customWidth="1"/>
    <col min="27" max="27" width="15.59765625" customWidth="1"/>
    <col min="28" max="28" width="18.19921875" customWidth="1"/>
    <col min="29" max="29" width="19.19921875" customWidth="1"/>
    <col min="30" max="30" width="22.8984375" customWidth="1"/>
    <col min="31" max="31" width="17.3984375" customWidth="1"/>
    <col min="32" max="32" width="18" customWidth="1"/>
    <col min="33" max="33" width="19.8984375" customWidth="1"/>
    <col min="34" max="34" width="25.3984375" customWidth="1"/>
    <col min="35" max="35" width="22.8984375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9D2F5-42AF-4769-A1A4-3C9E5573D7F0}">
  <dimension ref="A2:D67"/>
  <sheetViews>
    <sheetView tabSelected="1" topLeftCell="A55" workbookViewId="0">
      <selection activeCell="D78" sqref="D78"/>
    </sheetView>
  </sheetViews>
  <sheetFormatPr defaultRowHeight="13.8"/>
  <cols>
    <col min="1" max="3" width="35.296875" customWidth="1"/>
    <col min="4" max="4" width="29" style="1" customWidth="1"/>
  </cols>
  <sheetData>
    <row r="2" spans="1:4" ht="13.8" customHeight="1">
      <c r="A2" s="2" t="s">
        <v>62</v>
      </c>
      <c r="B2" s="2"/>
      <c r="C2" s="2"/>
      <c r="D2" s="2"/>
    </row>
    <row r="3" spans="1:4">
      <c r="A3" s="2"/>
      <c r="B3" s="2"/>
      <c r="C3" s="2"/>
      <c r="D3" s="2"/>
    </row>
    <row r="4" spans="1:4">
      <c r="A4" s="3" t="s">
        <v>4</v>
      </c>
      <c r="B4" s="3" t="s">
        <v>63</v>
      </c>
      <c r="C4" s="3" t="s">
        <v>65</v>
      </c>
      <c r="D4" s="4" t="s">
        <v>66</v>
      </c>
    </row>
    <row r="5" spans="1:4">
      <c r="A5" s="3"/>
      <c r="B5" s="3">
        <f>COUNTA('Employee Data'!J:J)-1</f>
        <v>1470</v>
      </c>
      <c r="C5" s="3">
        <f>COUNTIF('Employee Data'!B:B,"Yes")</f>
        <v>237</v>
      </c>
      <c r="D5" s="4">
        <f>COUNTIF('Employee Data'!B:B,"Yes")/(COUNTA('Employee Data'!J:J)-1)</f>
        <v>0.16122448979591836</v>
      </c>
    </row>
    <row r="6" spans="1:4">
      <c r="A6" s="3" t="s">
        <v>67</v>
      </c>
      <c r="B6" s="3">
        <f>COUNTIF('Employee Data'!E:E,"Sales")</f>
        <v>446</v>
      </c>
      <c r="C6" s="3">
        <f>COUNTIFS('Employee Data'!E:E,"Sales",'Employee Data'!B:B,"Yes")</f>
        <v>92</v>
      </c>
      <c r="D6" s="4">
        <f>C6/B6</f>
        <v>0.20627802690582961</v>
      </c>
    </row>
    <row r="7" spans="1:4">
      <c r="A7" s="3" t="s">
        <v>45</v>
      </c>
      <c r="B7" s="3">
        <f>COUNTIF('Employee Data'!E:E,"Research &amp; Development")</f>
        <v>961</v>
      </c>
      <c r="C7" s="3">
        <f>COUNTIFS('Employee Data'!E:E,"Research &amp; Development",'Employee Data'!B:B,"Yes")</f>
        <v>133</v>
      </c>
      <c r="D7" s="4">
        <f>C7/B7</f>
        <v>0.13839750260145681</v>
      </c>
    </row>
    <row r="8" spans="1:4">
      <c r="A8" s="3" t="s">
        <v>61</v>
      </c>
      <c r="B8" s="3">
        <f>COUNTIF('Employee Data'!E:E,"Human Resources")</f>
        <v>63</v>
      </c>
      <c r="C8" s="3">
        <f>COUNTIFS('Employee Data'!E:E,"Human Resources",'Employee Data'!B:B,"Yes")</f>
        <v>12</v>
      </c>
      <c r="D8" s="4">
        <f>C8/B8</f>
        <v>0.19047619047619047</v>
      </c>
    </row>
    <row r="11" spans="1:4">
      <c r="A11" t="s">
        <v>68</v>
      </c>
      <c r="B11" t="s">
        <v>64</v>
      </c>
      <c r="C11" t="s">
        <v>69</v>
      </c>
      <c r="D11" t="s">
        <v>70</v>
      </c>
    </row>
    <row r="12" spans="1:4">
      <c r="A12" t="s">
        <v>71</v>
      </c>
      <c r="B12">
        <f>COUNTIF('Employee Data'!A:A,"&lt;25")</f>
        <v>97</v>
      </c>
      <c r="C12">
        <f>COUNTIFS('Employee Data'!A:A,"&lt;25",'Employee Data'!B:B,"Yes")</f>
        <v>38</v>
      </c>
      <c r="D12" s="1">
        <f>C12/B12</f>
        <v>0.39175257731958762</v>
      </c>
    </row>
    <row r="13" spans="1:4">
      <c r="A13" t="s">
        <v>72</v>
      </c>
      <c r="B13">
        <f>COUNTIFS('Employee Data'!A:A,"&gt;=25",'Employee Data'!A:A,"&lt;=34")</f>
        <v>554</v>
      </c>
      <c r="C13">
        <f>COUNTIFS('Employee Data'!A:A,"&gt;=25",'Employee Data'!A:A,"&lt;=34",'Employee Data'!B:B,"Yes")</f>
        <v>112</v>
      </c>
      <c r="D13" s="1">
        <f t="shared" ref="D13:D15" si="0">C13/B13</f>
        <v>0.20216606498194944</v>
      </c>
    </row>
    <row r="14" spans="1:4">
      <c r="A14" t="s">
        <v>73</v>
      </c>
      <c r="B14">
        <f>COUNTIFS('Employee Data'!A:A,"&gt;=35",'Employee Data'!A:A,"&lt;=44")</f>
        <v>505</v>
      </c>
      <c r="C14">
        <f>COUNTIFS('Employee Data'!A:A,"&gt;=35",'Employee Data'!A:A,"&lt;=44",'Employee Data'!B:B,"Yes")</f>
        <v>51</v>
      </c>
      <c r="D14" s="1">
        <f t="shared" si="0"/>
        <v>0.100990099009901</v>
      </c>
    </row>
    <row r="15" spans="1:4">
      <c r="A15" t="s">
        <v>74</v>
      </c>
      <c r="B15">
        <f>COUNTIF('Employee Data'!A:A,"&gt;=45")</f>
        <v>314</v>
      </c>
      <c r="C15">
        <f>COUNTIFS('Employee Data'!A:A,"&gt;=45",'Employee Data'!B:B,"Yes")</f>
        <v>36</v>
      </c>
      <c r="D15" s="1">
        <f t="shared" si="0"/>
        <v>0.11464968152866242</v>
      </c>
    </row>
    <row r="17" spans="1:4">
      <c r="A17" s="11" t="s">
        <v>76</v>
      </c>
      <c r="B17" s="11" t="s">
        <v>64</v>
      </c>
      <c r="C17" s="11" t="s">
        <v>69</v>
      </c>
      <c r="D17" s="12" t="s">
        <v>70</v>
      </c>
    </row>
    <row r="18" spans="1:4">
      <c r="A18" s="11" t="str" cm="1">
        <f t="array" ref="A18:A26">_xlfn.UNIQUE('Employee Data'!P2:P1471)</f>
        <v>Sales Executive</v>
      </c>
      <c r="B18" s="11">
        <f>COUNTIF('Employee Data'!P:P,A18)</f>
        <v>326</v>
      </c>
      <c r="C18" s="11">
        <f>COUNTIFS('Employee Data'!P:P,A18,'Employee Data'!B:B,"Yes")</f>
        <v>57</v>
      </c>
      <c r="D18" s="12">
        <f>C18/B18</f>
        <v>0.17484662576687116</v>
      </c>
    </row>
    <row r="19" spans="1:4">
      <c r="A19" s="11" t="str">
        <v>Research Scientist</v>
      </c>
      <c r="B19" s="11">
        <f>COUNTIF('Employee Data'!P:P,A19)</f>
        <v>292</v>
      </c>
      <c r="C19" s="11">
        <f>COUNTIFS('Employee Data'!P:P,A19,'Employee Data'!B:B,"Yes")</f>
        <v>47</v>
      </c>
      <c r="D19" s="12">
        <f>C19/B19</f>
        <v>0.16095890410958905</v>
      </c>
    </row>
    <row r="20" spans="1:4">
      <c r="A20" s="11" t="str">
        <v>Laboratory Technician</v>
      </c>
      <c r="B20" s="11">
        <f>COUNTIF('Employee Data'!P:P,A20)</f>
        <v>259</v>
      </c>
      <c r="C20" s="11">
        <f>COUNTIFS('Employee Data'!P:P,A20,'Employee Data'!B:B,"Yes")</f>
        <v>62</v>
      </c>
      <c r="D20" s="12">
        <f>C20/B20</f>
        <v>0.23938223938223938</v>
      </c>
    </row>
    <row r="21" spans="1:4">
      <c r="A21" s="11" t="str">
        <v>Manufacturing Director</v>
      </c>
      <c r="B21" s="11">
        <f>COUNTIF('Employee Data'!P:P,A21)</f>
        <v>145</v>
      </c>
      <c r="C21" s="11">
        <f>COUNTIFS('Employee Data'!P:P,A21,'Employee Data'!B:B,"Yes")</f>
        <v>10</v>
      </c>
      <c r="D21" s="12">
        <f>C21/B21</f>
        <v>6.8965517241379309E-2</v>
      </c>
    </row>
    <row r="22" spans="1:4">
      <c r="A22" s="11" t="str">
        <v>Healthcare Representative</v>
      </c>
      <c r="B22" s="11">
        <f>COUNTIF('Employee Data'!P:P,A22)</f>
        <v>131</v>
      </c>
      <c r="C22" s="11">
        <f>COUNTIFS('Employee Data'!P:P,A22,'Employee Data'!B:B,"Yes")</f>
        <v>9</v>
      </c>
      <c r="D22" s="12">
        <f>C22/B22</f>
        <v>6.8702290076335881E-2</v>
      </c>
    </row>
    <row r="23" spans="1:4">
      <c r="A23" s="11" t="str">
        <v>Manager</v>
      </c>
      <c r="B23" s="11">
        <f>COUNTIF('Employee Data'!P:P,A23)</f>
        <v>102</v>
      </c>
      <c r="C23" s="11">
        <f>COUNTIFS('Employee Data'!P:P,A23,'Employee Data'!B:B,"Yes")</f>
        <v>5</v>
      </c>
      <c r="D23" s="12">
        <f>C23/B23</f>
        <v>4.9019607843137254E-2</v>
      </c>
    </row>
    <row r="24" spans="1:4">
      <c r="A24" s="11" t="str">
        <v>Sales Representative</v>
      </c>
      <c r="B24" s="11">
        <f>COUNTIF('Employee Data'!P:P,A24)</f>
        <v>83</v>
      </c>
      <c r="C24" s="11">
        <f>COUNTIFS('Employee Data'!P:P,A24,'Employee Data'!B:B,"Yes")</f>
        <v>33</v>
      </c>
      <c r="D24" s="12">
        <f>C24/B24</f>
        <v>0.39759036144578314</v>
      </c>
    </row>
    <row r="25" spans="1:4">
      <c r="A25" s="11" t="str">
        <v>Research Director</v>
      </c>
      <c r="B25" s="11">
        <f>COUNTIF('Employee Data'!P:P,A25)</f>
        <v>80</v>
      </c>
      <c r="C25" s="11">
        <f>COUNTIFS('Employee Data'!P:P,A25,'Employee Data'!B:B,"Yes")</f>
        <v>2</v>
      </c>
      <c r="D25" s="12">
        <f>C25/B25</f>
        <v>2.5000000000000001E-2</v>
      </c>
    </row>
    <row r="26" spans="1:4">
      <c r="A26" s="11" t="str">
        <v>Human Resources</v>
      </c>
      <c r="B26" s="11">
        <f>COUNTIF('Employee Data'!P:P,A26)</f>
        <v>52</v>
      </c>
      <c r="C26" s="11">
        <f>COUNTIFS('Employee Data'!P:P,A26,'Employee Data'!B:B,"Yes")</f>
        <v>12</v>
      </c>
      <c r="D26" s="12">
        <f>C26/B26</f>
        <v>0.23076923076923078</v>
      </c>
    </row>
    <row r="29" spans="1:4">
      <c r="A29" s="15" t="s">
        <v>11</v>
      </c>
      <c r="B29" s="15" t="s">
        <v>77</v>
      </c>
      <c r="C29" s="15" t="s">
        <v>78</v>
      </c>
      <c r="D29" s="15" t="s">
        <v>79</v>
      </c>
    </row>
    <row r="30" spans="1:4">
      <c r="A30" s="15" t="str" cm="1">
        <f t="array" ref="A30:A31">_xlfn.UNIQUE('Employee Data'!L2:L1471)</f>
        <v>Female</v>
      </c>
      <c r="B30" s="15">
        <f>COUNTIF('Employee Data'!L:L,A30)</f>
        <v>588</v>
      </c>
      <c r="C30" s="15">
        <f>COUNTIFS('Employee Data'!L:L,A30,'Employee Data'!B:B,"Yes")</f>
        <v>87</v>
      </c>
      <c r="D30" s="16">
        <f>C30/B30</f>
        <v>0.14795918367346939</v>
      </c>
    </row>
    <row r="31" spans="1:4">
      <c r="A31" s="15" t="str">
        <v>Male</v>
      </c>
      <c r="B31" s="15">
        <f>COUNTIF('Employee Data'!L:L,A31)</f>
        <v>882</v>
      </c>
      <c r="C31" s="15">
        <f>COUNTIFS('Employee Data'!L:L,A31,'Employee Data'!B:B,"Yes")</f>
        <v>150</v>
      </c>
      <c r="D31" s="16">
        <f>C31/B31</f>
        <v>0.17006802721088435</v>
      </c>
    </row>
    <row r="32" spans="1:4">
      <c r="A32" s="15"/>
      <c r="B32" s="15"/>
      <c r="C32" s="15"/>
      <c r="D32" s="16"/>
    </row>
    <row r="34" spans="1:4">
      <c r="A34" s="14" t="s">
        <v>83</v>
      </c>
      <c r="B34" s="5" t="s">
        <v>80</v>
      </c>
      <c r="C34" s="5" t="s">
        <v>84</v>
      </c>
      <c r="D34" s="1" t="s">
        <v>75</v>
      </c>
    </row>
    <row r="35" spans="1:4">
      <c r="A35" t="s">
        <v>81</v>
      </c>
      <c r="B35">
        <f>COUNTIF('Employee Data'!W:W,"Yes")</f>
        <v>416</v>
      </c>
      <c r="C35">
        <f>COUNTIFS('Employee Data'!W:W,"Yes",'Employee Data'!B:B,"Yes")</f>
        <v>127</v>
      </c>
    </row>
    <row r="36" spans="1:4">
      <c r="A36" s="13" t="s">
        <v>82</v>
      </c>
      <c r="B36">
        <f>COUNTIF('Employee Data'!W:W,"No")</f>
        <v>1054</v>
      </c>
      <c r="C36">
        <f>COUNTIFS('Employee Data'!W:W,"No",'Employee Data'!B:B,"Yes")</f>
        <v>110</v>
      </c>
    </row>
    <row r="40" spans="1:4">
      <c r="A40" s="7" t="s">
        <v>85</v>
      </c>
      <c r="B40" s="7" t="s">
        <v>64</v>
      </c>
      <c r="C40" s="7" t="s">
        <v>65</v>
      </c>
      <c r="D40" s="7" t="s">
        <v>86</v>
      </c>
    </row>
    <row r="41" spans="1:4">
      <c r="A41" s="6">
        <v>1</v>
      </c>
      <c r="B41" s="6">
        <f>COUNTIF('Employee Data'!Q:Q,A41)</f>
        <v>289</v>
      </c>
      <c r="C41" s="6">
        <f>COUNTIFS('Employee Data'!Q:Q,A41,'Employee Data'!B:B,"Yes")</f>
        <v>66</v>
      </c>
      <c r="D41" s="8">
        <f>C41/B41</f>
        <v>0.22837370242214533</v>
      </c>
    </row>
    <row r="42" spans="1:4">
      <c r="A42" s="6">
        <v>2</v>
      </c>
      <c r="B42" s="6">
        <f>COUNTIF('Employee Data'!Q:Q,A42)</f>
        <v>280</v>
      </c>
      <c r="C42" s="6">
        <f>COUNTIFS('Employee Data'!Q:Q,A42,'Employee Data'!B:B,"Yes")</f>
        <v>46</v>
      </c>
      <c r="D42" s="8">
        <f t="shared" ref="D42:D43" si="1">C42/B42</f>
        <v>0.16428571428571428</v>
      </c>
    </row>
    <row r="43" spans="1:4">
      <c r="A43" s="6">
        <v>3</v>
      </c>
      <c r="B43" s="6">
        <f>COUNTIF('Employee Data'!Q:Q,A43)</f>
        <v>442</v>
      </c>
      <c r="C43" s="6">
        <f>COUNTIFS('Employee Data'!Q:Q,A43,'Employee Data'!B:B,"Yes")</f>
        <v>73</v>
      </c>
      <c r="D43" s="8">
        <f t="shared" si="1"/>
        <v>0.16515837104072398</v>
      </c>
    </row>
    <row r="44" spans="1:4">
      <c r="A44" s="6">
        <v>4</v>
      </c>
      <c r="B44" s="6">
        <f>COUNTIF('Employee Data'!Q:Q,A44)</f>
        <v>459</v>
      </c>
      <c r="C44" s="6">
        <f>COUNTIFS('Employee Data'!Q:Q,A44,'Employee Data'!B:B,"Yes")</f>
        <v>52</v>
      </c>
      <c r="D44" s="8">
        <f>C44/B44</f>
        <v>0.11328976034858387</v>
      </c>
    </row>
    <row r="48" spans="1:4">
      <c r="A48" s="9" t="s">
        <v>87</v>
      </c>
      <c r="B48" s="7" t="s">
        <v>64</v>
      </c>
      <c r="C48" s="7" t="s">
        <v>65</v>
      </c>
      <c r="D48" s="7" t="s">
        <v>86</v>
      </c>
    </row>
    <row r="49" spans="1:4">
      <c r="A49" s="10" t="s">
        <v>88</v>
      </c>
      <c r="B49" s="6">
        <f>COUNTIFS('Employee Data'!AF:AF,"&gt;=0",'Employee Data'!AF:AF,"&lt;=2")</f>
        <v>342</v>
      </c>
      <c r="C49" s="6">
        <f>COUNTIFS('Employee Data'!AF:AF,"&gt;=0",'Employee Data'!AF:AF,"&lt;=2",'Employee Data'!B:B,"Yes")</f>
        <v>102</v>
      </c>
      <c r="D49" s="8">
        <f>C49/B49</f>
        <v>0.2982456140350877</v>
      </c>
    </row>
    <row r="50" spans="1:4">
      <c r="A50" s="10" t="s">
        <v>89</v>
      </c>
      <c r="B50" s="6">
        <f>COUNTIFS('Employee Data'!AF:AF,"&gt;=3",'Employee Data'!AF:AF,"&lt;=5")</f>
        <v>434</v>
      </c>
      <c r="C50" s="6">
        <f>COUNTIFS('Employee Data'!AF:AF,"&gt;=3",'Employee Data'!AF:AF,"&lt;=5",'Employee Data'!B:B,"Yes")</f>
        <v>60</v>
      </c>
      <c r="D50" s="8">
        <f t="shared" ref="D50:D52" si="2">C50/B50</f>
        <v>0.13824884792626729</v>
      </c>
    </row>
    <row r="51" spans="1:4">
      <c r="A51" s="10" t="s">
        <v>90</v>
      </c>
      <c r="B51" s="6">
        <f>COUNTIFS('Employee Data'!AF:AF,"&gt;=6",'Employee Data'!AF:AF,"&lt;=10")</f>
        <v>448</v>
      </c>
      <c r="C51" s="6">
        <f>COUNTIFS('Employee Data'!AF:AF,"&gt;=6",'Employee Data'!AF:AF,"&lt;=10",'Employee Data'!B:B,"Yes")</f>
        <v>55</v>
      </c>
      <c r="D51" s="8">
        <f t="shared" si="2"/>
        <v>0.12276785714285714</v>
      </c>
    </row>
    <row r="52" spans="1:4">
      <c r="A52" s="10" t="s">
        <v>91</v>
      </c>
      <c r="B52" s="6">
        <f>COUNTIF('Employee Data'!AF:AF,"&gt;=11")</f>
        <v>246</v>
      </c>
      <c r="C52" s="6">
        <f>COUNTIFS('Employee Data'!AF:AF,"&gt;=11",'Employee Data'!B:B,"Yes")</f>
        <v>20</v>
      </c>
      <c r="D52" s="8">
        <f t="shared" si="2"/>
        <v>8.1300813008130079E-2</v>
      </c>
    </row>
    <row r="55" spans="1:4" ht="14.4" thickBot="1"/>
    <row r="56" spans="1:4" ht="15" thickTop="1" thickBot="1">
      <c r="A56" s="17" t="s">
        <v>92</v>
      </c>
      <c r="B56" s="17" t="s">
        <v>64</v>
      </c>
      <c r="C56" s="17" t="s">
        <v>65</v>
      </c>
      <c r="D56" s="18" t="s">
        <v>86</v>
      </c>
    </row>
    <row r="57" spans="1:4" ht="15" thickTop="1" thickBot="1">
      <c r="A57" s="17" t="s">
        <v>93</v>
      </c>
      <c r="B57" s="17">
        <f>COUNTIF('Employee Data'!S:S,"&lt;3000")</f>
        <v>395</v>
      </c>
      <c r="C57" s="17">
        <f>COUNTIFS('Employee Data'!S:S,"&lt;3000",'Employee Data'!B:B,"Yes")</f>
        <v>113</v>
      </c>
      <c r="D57" s="18">
        <f>C57/B57</f>
        <v>0.28607594936708863</v>
      </c>
    </row>
    <row r="58" spans="1:4" ht="15" thickTop="1" thickBot="1">
      <c r="A58" s="17" t="s">
        <v>94</v>
      </c>
      <c r="B58" s="17">
        <f>COUNTIFS('Employee Data'!S:S,"&gt;=3000",'Employee Data'!S:S,"&lt;=5000")</f>
        <v>354</v>
      </c>
      <c r="C58" s="17">
        <f>COUNTIFS('Employee Data'!S:S,"&gt;=3000",'Employee Data'!S:S,"&lt;=5000",'Employee Data'!B:B,"Yes")</f>
        <v>50</v>
      </c>
      <c r="D58" s="18">
        <f t="shared" ref="D58:D60" si="3">C58/B58</f>
        <v>0.14124293785310735</v>
      </c>
    </row>
    <row r="59" spans="1:4" ht="15" thickTop="1" thickBot="1">
      <c r="A59" s="17" t="s">
        <v>95</v>
      </c>
      <c r="B59" s="17">
        <f>COUNTIFS('Employee Data'!S:S,"&gt;5000",'Employee Data'!S:S,"&lt;=10000")</f>
        <v>440</v>
      </c>
      <c r="C59" s="17">
        <f>COUNTIFS('Employee Data'!S:S,"&gt;5000",'Employee Data'!S:S,"&lt;=10000",'Employee Data'!B:B,"Yes")</f>
        <v>49</v>
      </c>
      <c r="D59" s="18">
        <f t="shared" si="3"/>
        <v>0.11136363636363636</v>
      </c>
    </row>
    <row r="60" spans="1:4" ht="15" thickTop="1" thickBot="1">
      <c r="A60" s="17" t="s">
        <v>96</v>
      </c>
      <c r="B60" s="17">
        <f>COUNTIF('Employee Data'!S:S,"&gt;10000")</f>
        <v>281</v>
      </c>
      <c r="C60" s="17">
        <f>COUNTIFS('Employee Data'!S:S,"&gt;10000",'Employee Data'!B:B,"Yes")</f>
        <v>25</v>
      </c>
      <c r="D60" s="18">
        <f t="shared" si="3"/>
        <v>8.8967971530249115E-2</v>
      </c>
    </row>
    <row r="61" spans="1:4" ht="14.4" thickTop="1"/>
    <row r="64" spans="1:4">
      <c r="A64" s="19" t="s">
        <v>97</v>
      </c>
      <c r="B64" s="19" t="s">
        <v>64</v>
      </c>
      <c r="C64" s="19" t="s">
        <v>65</v>
      </c>
      <c r="D64" s="20" t="s">
        <v>86</v>
      </c>
    </row>
    <row r="65" spans="1:4">
      <c r="A65" s="19" t="s">
        <v>36</v>
      </c>
      <c r="B65" s="19">
        <f>COUNTIF('Employee Data'!C:C,"Travel_Rarely")</f>
        <v>1043</v>
      </c>
      <c r="C65" s="19">
        <f>COUNTIFS('Employee Data'!C:C,"Travel_Rarely",'Employee Data'!B:B,"Yes")</f>
        <v>156</v>
      </c>
      <c r="D65" s="20">
        <f>C65/B65</f>
        <v>0.14956855225311602</v>
      </c>
    </row>
    <row r="66" spans="1:4">
      <c r="A66" s="19" t="s">
        <v>44</v>
      </c>
      <c r="B66" s="19">
        <f>COUNTIF('Employee Data'!C:C,"Travel_Frequently")</f>
        <v>277</v>
      </c>
      <c r="C66" s="19">
        <f>COUNTIFS('Employee Data'!C:C,"Travel_Frequently",'Employee Data'!B:B,"Yes")</f>
        <v>69</v>
      </c>
      <c r="D66" s="20">
        <f t="shared" ref="D66:D67" si="4">C66/B66</f>
        <v>0.24909747292418771</v>
      </c>
    </row>
    <row r="67" spans="1:4">
      <c r="A67" s="19" t="s">
        <v>55</v>
      </c>
      <c r="B67" s="19">
        <f>COUNTIF('Employee Data'!C:C,"Non-Travel")</f>
        <v>150</v>
      </c>
      <c r="C67" s="19">
        <f>COUNTIFS('Employee Data'!C:C,"Non-Travel",'Employee Data'!B:B,"Yes")</f>
        <v>12</v>
      </c>
      <c r="D67" s="20">
        <f t="shared" si="4"/>
        <v>0.08</v>
      </c>
    </row>
  </sheetData>
  <mergeCells count="1">
    <mergeCell ref="A2:D3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</dc:creator>
  <cp:lastModifiedBy>tanmay khandait</cp:lastModifiedBy>
  <dcterms:created xsi:type="dcterms:W3CDTF">2026-09-23T13:49:55Z</dcterms:created>
  <dcterms:modified xsi:type="dcterms:W3CDTF">2026-09-23T21:58:54Z</dcterms:modified>
</cp:coreProperties>
</file>